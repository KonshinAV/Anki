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6f0377584fa3898f/OneSyncFiles/obsidian_store/_Projeckte/anki_import/"/>
    </mc:Choice>
  </mc:AlternateContent>
  <xr:revisionPtr revIDLastSave="168" documentId="13_ncr:1_{47A28723-F251-B741-A663-11FF9383FEF7}" xr6:coauthVersionLast="47" xr6:coauthVersionMax="47" xr10:uidLastSave="{412F53AE-4A10-6145-AACE-8FD0551135C0}"/>
  <bookViews>
    <workbookView xWindow="18600" yWindow="6740" windowWidth="16720" windowHeight="144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 s="1"/>
  <c r="C3" i="1"/>
  <c r="B5" i="1" l="1"/>
  <c r="C5" i="1" l="1"/>
  <c r="B6" i="1"/>
  <c r="B7" i="1" l="1"/>
  <c r="C7" i="1" s="1"/>
  <c r="C6" i="1"/>
</calcChain>
</file>

<file path=xl/sharedStrings.xml><?xml version="1.0" encoding="utf-8"?>
<sst xmlns="http://schemas.openxmlformats.org/spreadsheetml/2006/main" count="50" uniqueCount="48">
  <si>
    <t>base_de</t>
  </si>
  <si>
    <t>full_de</t>
  </si>
  <si>
    <t>notes</t>
  </si>
  <si>
    <t>audio_text_de</t>
  </si>
  <si>
    <t>base_ru</t>
  </si>
  <si>
    <t>s1_de</t>
  </si>
  <si>
    <t>s1_ru</t>
  </si>
  <si>
    <t>s2_de</t>
  </si>
  <si>
    <t>s2_ru</t>
  </si>
  <si>
    <t>s3_de</t>
  </si>
  <si>
    <t>s3_ru</t>
  </si>
  <si>
    <t>s4_de</t>
  </si>
  <si>
    <t>s4_ru</t>
  </si>
  <si>
    <t>s5_de</t>
  </si>
  <si>
    <t>s5_ru</t>
  </si>
  <si>
    <t>s6_de</t>
  </si>
  <si>
    <t>s6_ru</t>
  </si>
  <si>
    <t>s7_de</t>
  </si>
  <si>
    <t>s7_ru</t>
  </si>
  <si>
    <t>s8_de</t>
  </si>
  <si>
    <t>s8_ru</t>
  </si>
  <si>
    <t>s9_de</t>
  </si>
  <si>
    <t>s9_ru</t>
  </si>
  <si>
    <t>St</t>
  </si>
  <si>
    <t>Monat</t>
  </si>
  <si>
    <t>Tag</t>
  </si>
  <si>
    <t>Woche</t>
  </si>
  <si>
    <t>Jahr</t>
  </si>
  <si>
    <t>Gebühr Br</t>
  </si>
  <si>
    <t>Gebühr Net</t>
  </si>
  <si>
    <t>Kranz</t>
  </si>
  <si>
    <t>erringen</t>
  </si>
  <si>
    <t>der Kranz, "-e</t>
  </si>
  <si>
    <t>венок, венец, кольцо (в техническом смысле)</t>
  </si>
  <si>
    <r>
      <t xml:space="preserve">Zur Eröffnung des neuen Bürogebäudes hängte das Team einen großen </t>
    </r>
    <r>
      <rPr>
        <b/>
        <sz val="11"/>
        <color rgb="FF1F1F1F"/>
        <rFont val="Arial"/>
        <family val="2"/>
      </rPr>
      <t>Kranz</t>
    </r>
    <r>
      <rPr>
        <sz val="11"/>
        <color rgb="FF1F1F1F"/>
        <rFont val="Arial"/>
        <family val="2"/>
      </rPr>
      <t xml:space="preserve"> aus frischen Tannenzweigen an die Tür.</t>
    </r>
  </si>
  <si>
    <r>
      <t xml:space="preserve">К открытию нового офисного здания команда повесила на дверь большой </t>
    </r>
    <r>
      <rPr>
        <b/>
        <sz val="11"/>
        <color rgb="FF1F1F1F"/>
        <rFont val="Arial"/>
        <family val="2"/>
      </rPr>
      <t>венок</t>
    </r>
    <r>
      <rPr>
        <sz val="11"/>
        <color rgb="FF1F1F1F"/>
        <rFont val="Arial"/>
        <family val="2"/>
      </rPr>
      <t xml:space="preserve"> из свежих еловых веток.</t>
    </r>
  </si>
  <si>
    <r>
      <t xml:space="preserve">Um den Zylinder des alten Motors dicht zu verschließen, musste ein spezieller metallischer </t>
    </r>
    <r>
      <rPr>
        <b/>
        <sz val="11"/>
        <color rgb="FF1F1F1F"/>
        <rFont val="Arial"/>
        <family val="2"/>
      </rPr>
      <t>Kranz</t>
    </r>
    <r>
      <rPr>
        <sz val="11"/>
        <color rgb="FF1F1F1F"/>
        <rFont val="Arial"/>
        <family val="2"/>
      </rPr>
      <t xml:space="preserve"> eingesetzt werden.</t>
    </r>
  </si>
  <si>
    <r>
      <t xml:space="preserve">Чтобы плотно закрыть цилиндр старого двигателя, пришлось вставить специальное металлическое </t>
    </r>
    <r>
      <rPr>
        <b/>
        <sz val="11"/>
        <color rgb="FF1F1F1F"/>
        <rFont val="Arial"/>
        <family val="2"/>
      </rPr>
      <t>кольцо (венец)</t>
    </r>
    <r>
      <rPr>
        <sz val="11"/>
        <color rgb="FF1F1F1F"/>
        <rFont val="Arial"/>
        <family val="2"/>
      </rPr>
      <t>.</t>
    </r>
  </si>
  <si>
    <r>
      <t xml:space="preserve">Die neugierige Katze versuchte hartnäckig, die bunten Bänder von dem dekorativen </t>
    </r>
    <r>
      <rPr>
        <b/>
        <sz val="11"/>
        <color rgb="FF1F1F1F"/>
        <rFont val="Arial"/>
        <family val="2"/>
      </rPr>
      <t>Kranz</t>
    </r>
    <r>
      <rPr>
        <sz val="11"/>
        <color rgb="FF1F1F1F"/>
        <rFont val="Arial"/>
        <family val="2"/>
      </rPr>
      <t xml:space="preserve"> auf dem Tisch abzureißen.</t>
    </r>
  </si>
  <si>
    <r>
      <t xml:space="preserve">Любопытная кошка упорно пыталась оторвать цветные ленты с декоративного </t>
    </r>
    <r>
      <rPr>
        <b/>
        <sz val="11"/>
        <color rgb="FF1F1F1F"/>
        <rFont val="Arial"/>
        <family val="2"/>
      </rPr>
      <t>венка</t>
    </r>
    <r>
      <rPr>
        <sz val="11"/>
        <color rgb="FF1F1F1F"/>
        <rFont val="Arial"/>
        <family val="2"/>
      </rPr>
      <t xml:space="preserve"> на столе.</t>
    </r>
  </si>
  <si>
    <t>erringen, errang, hat errungen (Akk.)</t>
  </si>
  <si>
    <t>завоевать, добиться, одержать (победу)</t>
  </si>
  <si>
    <r>
      <t xml:space="preserve">Durch die erfolgreiche Zertifizierung konnte das IT-Unternehmen einen großen Marktvorteil gegenüber der Konkurrenz </t>
    </r>
    <r>
      <rPr>
        <b/>
        <sz val="11"/>
        <color rgb="FF1F1F1F"/>
        <rFont val="Arial"/>
        <family val="2"/>
      </rPr>
      <t>erringen</t>
    </r>
    <r>
      <rPr>
        <sz val="11"/>
        <color rgb="FF1F1F1F"/>
        <rFont val="Arial"/>
        <family val="2"/>
      </rPr>
      <t>.</t>
    </r>
  </si>
  <si>
    <r>
      <t xml:space="preserve">Благодаря успешной сертификации ИТ-компания смогла </t>
    </r>
    <r>
      <rPr>
        <b/>
        <sz val="11"/>
        <color rgb="FF1F1F1F"/>
        <rFont val="Arial"/>
        <family val="2"/>
      </rPr>
      <t>завоевать</t>
    </r>
    <r>
      <rPr>
        <sz val="11"/>
        <color rgb="FF1F1F1F"/>
        <rFont val="Arial"/>
        <family val="2"/>
      </rPr>
      <t xml:space="preserve"> большое преимущество на рынке по сравнению с конкурентами.</t>
    </r>
  </si>
  <si>
    <r>
      <t xml:space="preserve">Nach monatelangen harten Verhandlungen gelang es dem Team schließlich, den begehrten Großauftrag zu </t>
    </r>
    <r>
      <rPr>
        <b/>
        <sz val="11"/>
        <color rgb="FF1F1F1F"/>
        <rFont val="Arial"/>
        <family val="2"/>
      </rPr>
      <t>erringen</t>
    </r>
    <r>
      <rPr>
        <sz val="11"/>
        <color rgb="FF1F1F1F"/>
        <rFont val="Arial"/>
        <family val="2"/>
      </rPr>
      <t>.</t>
    </r>
  </si>
  <si>
    <r>
      <t xml:space="preserve">После многомесячных тяжёлых переговоров команде наконец удалось </t>
    </r>
    <r>
      <rPr>
        <b/>
        <sz val="11"/>
        <color rgb="FF1F1F1F"/>
        <rFont val="Arial"/>
        <family val="2"/>
      </rPr>
      <t>добиться</t>
    </r>
    <r>
      <rPr>
        <sz val="11"/>
        <color rgb="FF1F1F1F"/>
        <rFont val="Arial"/>
        <family val="2"/>
      </rPr>
      <t xml:space="preserve"> получения желанного крупного заказа.</t>
    </r>
  </si>
  <si>
    <r>
      <t xml:space="preserve">Nach einem wilden Sprint durch den Flur konnte die Katze die Plüschmaus als Beute </t>
    </r>
    <r>
      <rPr>
        <b/>
        <sz val="11"/>
        <color rgb="FF1F1F1F"/>
        <rFont val="Arial"/>
        <family val="2"/>
      </rPr>
      <t>erringen</t>
    </r>
    <r>
      <rPr>
        <sz val="11"/>
        <color rgb="FF1F1F1F"/>
        <rFont val="Arial"/>
        <family val="2"/>
      </rPr>
      <t xml:space="preserve"> und trug sie stolz im Maul.</t>
    </r>
  </si>
  <si>
    <r>
      <t xml:space="preserve">После дикого спринта по коридору кошка смогла </t>
    </r>
    <r>
      <rPr>
        <b/>
        <sz val="11"/>
        <color rgb="FF1F1F1F"/>
        <rFont val="Arial"/>
        <family val="2"/>
      </rPr>
      <t>завоевать (добыть)</t>
    </r>
    <r>
      <rPr>
        <sz val="11"/>
        <color rgb="FF1F1F1F"/>
        <rFont val="Arial"/>
        <family val="2"/>
      </rPr>
      <t xml:space="preserve"> плюшевую мышь в качестве добычи и гордо понесла её в пасти.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</si>
</sst>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"/>
  <sheetViews>
    <sheetView zoomScale="120" zoomScaleNormal="120" workbookViewId="0">
      <pane ySplit="1" topLeftCell="A2" activePane="bottomLeft" state="frozen"/>
      <selection pane="bottomLeft" activeCell="F8" sqref="F8"/>
    </sheetView>
  </sheetViews>
  <sheetFormatPr baseColWidth="10" defaultColWidth="9" defaultRowHeight="15" x14ac:dyDescent="0.2"/>
  <cols>
    <col min="1" max="1" width="10.5" customWidth="1"/>
    <col min="2" max="2" width="10.1640625" customWidth="1"/>
    <col min="3" max="3" width="14.6640625" customWidth="1"/>
    <col min="5" max="13" width="9" style="6"/>
  </cols>
  <sheetData>
    <row r="2" spans="1:3" x14ac:dyDescent="0.2">
      <c r="A2">
        <v>0.6</v>
      </c>
      <c r="B2" s="7" t="s">
        <v>28</v>
      </c>
      <c r="C2" s="7" t="s">
        <v>29</v>
      </c>
    </row>
    <row r="3" spans="1:3" x14ac:dyDescent="0.2">
      <c r="A3" s="7" t="s">
        <v>23</v>
      </c>
      <c r="B3" s="8">
        <v>17</v>
      </c>
      <c r="C3">
        <f>B3*A2</f>
        <v>10.199999999999999</v>
      </c>
    </row>
    <row r="4" spans="1:3" x14ac:dyDescent="0.2">
      <c r="A4" s="7" t="s">
        <v>25</v>
      </c>
      <c r="B4">
        <f>B3*8</f>
        <v>136</v>
      </c>
      <c r="C4">
        <f>B4*A2</f>
        <v>81.599999999999994</v>
      </c>
    </row>
    <row r="5" spans="1:3" x14ac:dyDescent="0.2">
      <c r="A5" s="7" t="s">
        <v>26</v>
      </c>
      <c r="B5">
        <f>B4*5</f>
        <v>680</v>
      </c>
      <c r="C5">
        <f>B5*A2</f>
        <v>408</v>
      </c>
    </row>
    <row r="6" spans="1:3" x14ac:dyDescent="0.2">
      <c r="A6" s="7" t="s">
        <v>24</v>
      </c>
      <c r="B6">
        <f>B5*4</f>
        <v>2720</v>
      </c>
      <c r="C6">
        <f>B6*A2</f>
        <v>1632</v>
      </c>
    </row>
    <row r="7" spans="1:3" x14ac:dyDescent="0.2">
      <c r="A7" s="7" t="s">
        <v>27</v>
      </c>
      <c r="B7">
        <f>B6*12</f>
        <v>32640</v>
      </c>
      <c r="C7">
        <f>B7*A2</f>
        <v>19584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"/>
  <sheetViews>
    <sheetView tabSelected="1" zoomScale="130" zoomScaleNormal="130" workbookViewId="0">
      <pane ySplit="1" topLeftCell="A2" activePane="bottomLeft" state="frozen"/>
      <selection pane="bottomLeft" activeCell="C15" sqref="C15"/>
    </sheetView>
  </sheetViews>
  <sheetFormatPr baseColWidth="10" defaultColWidth="9" defaultRowHeight="15" x14ac:dyDescent="0.2"/>
  <cols>
    <col min="1" max="1" width="14.33203125" style="2" customWidth="1"/>
    <col min="2" max="2" width="25.6640625" style="7" customWidth="1"/>
    <col min="3" max="3" width="13.6640625" style="7" customWidth="1"/>
    <col min="4" max="4" width="19.33203125" style="7" customWidth="1"/>
    <col min="5" max="5" width="16.5" style="7" customWidth="1"/>
    <col min="6" max="6" width="30.6640625" style="7" customWidth="1"/>
    <col min="7" max="7" width="32.83203125" style="7" customWidth="1"/>
    <col min="8" max="8" width="40.33203125" style="7" customWidth="1"/>
    <col min="9" max="9" width="37.33203125" style="7" customWidth="1"/>
    <col min="10" max="10" width="30.6640625" style="7" customWidth="1"/>
    <col min="11" max="11" width="23.6640625" style="7" customWidth="1"/>
    <col min="12" max="16384" width="9" style="7"/>
  </cols>
  <sheetData>
    <row r="1" spans="1:23" s="1" customFormat="1" ht="21" thickBo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</row>
    <row r="2" spans="1:23" x14ac:dyDescent="0.2">
      <c r="A2" s="9" t="s">
        <v>30</v>
      </c>
      <c r="B2" s="9" t="s">
        <v>32</v>
      </c>
      <c r="D2" s="9" t="s">
        <v>30</v>
      </c>
      <c r="E2" s="10" t="s">
        <v>33</v>
      </c>
      <c r="F2" s="10" t="s">
        <v>34</v>
      </c>
      <c r="G2" s="10" t="s">
        <v>35</v>
      </c>
      <c r="H2" s="10" t="s">
        <v>36</v>
      </c>
      <c r="I2" s="10" t="s">
        <v>37</v>
      </c>
      <c r="J2" s="10" t="s">
        <v>38</v>
      </c>
      <c r="K2" s="10" t="s">
        <v>39</v>
      </c>
    </row>
    <row r="3" spans="1:23" x14ac:dyDescent="0.2">
      <c r="A3" s="9" t="s">
        <v>31</v>
      </c>
      <c r="B3" s="9" t="s">
        <v>40</v>
      </c>
      <c r="D3" s="9" t="s">
        <v>31</v>
      </c>
      <c r="E3" s="10" t="s">
        <v>41</v>
      </c>
      <c r="F3" s="10" t="s">
        <v>42</v>
      </c>
      <c r="G3" s="10" t="s">
        <v>43</v>
      </c>
      <c r="H3" s="10" t="s">
        <v>44</v>
      </c>
      <c r="I3" s="10" t="s">
        <v>45</v>
      </c>
      <c r="J3" s="10" t="s">
        <v>46</v>
      </c>
      <c r="K3" s="10" t="s">
        <v>47</v>
      </c>
    </row>
  </sheetData>
  <autoFilter ref="A1:W1" xr:uid="{00000000-0009-0000-0000-000001000000}">
    <sortState xmlns:xlrd2="http://schemas.microsoft.com/office/spreadsheetml/2017/richdata2" ref="A2:W67">
      <sortCondition ref="A1:A67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konshin_av</dc:creator>
  <cp:lastModifiedBy>Artem Konshin</cp:lastModifiedBy>
  <dcterms:created xsi:type="dcterms:W3CDTF">2025-05-11T10:12:00Z</dcterms:created>
  <dcterms:modified xsi:type="dcterms:W3CDTF">2026-06-11T06:53:25Z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27B4036F2F71D46451841F683324C3B1_43</vt:lpwstr>
  </property>
  <property fmtid="{D5CDD505-2E9C-101B-9397-08002B2CF9AE}" pid="3" name="KSOProductBuildVer">
    <vt:lpwstr>1031-12.1.23155.23155</vt:lpwstr>
  </property>
</Properties>
</file>